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tables/table17.xml" ContentType="application/vnd.openxmlformats-officedocument.spreadsheetml.table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ables/table14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16.xml" ContentType="application/vnd.openxmlformats-officedocument.spreadsheetml.table+xml"/>
  <Override PartName="/xl/tables/table9.xml" ContentType="application/vnd.openxmlformats-officedocument.spreadsheetml.table+xml"/>
  <Override PartName="/xl/tables/table13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5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tables/table1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Renda" sheetId="1" state="visible" r:id="rId1"/>
    <sheet name="Comida" sheetId="2" state="visible" r:id="rId2"/>
    <sheet name="Gatos" sheetId="3" state="visible" r:id="rId3"/>
    <sheet name="925" sheetId="4" state="visible" r:id="rId4"/>
    <sheet name="1025" sheetId="5" state="visible" r:id="rId5"/>
    <sheet name="1125" sheetId="6" state="visible" r:id="rId6"/>
    <sheet name="0526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<sst xmlns="http://schemas.openxmlformats.org/spreadsheetml/2006/main" count="63" uniqueCount="63">
  <si>
    <t>CLT</t>
  </si>
  <si>
    <t>RPA</t>
  </si>
  <si>
    <t xml:space="preserve">Comida (papai)</t>
  </si>
  <si>
    <t>Psicóloga</t>
  </si>
  <si>
    <t>TOTAL</t>
  </si>
  <si>
    <t xml:space="preserve">Almoço - RU</t>
  </si>
  <si>
    <t xml:space="preserve">Almoço - Comprado</t>
  </si>
  <si>
    <t xml:space="preserve">Jantar - RU</t>
  </si>
  <si>
    <t>Café</t>
  </si>
  <si>
    <t>Lanches</t>
  </si>
  <si>
    <t xml:space="preserve">Pão (sacos)</t>
  </si>
  <si>
    <t xml:space="preserve">Ovos (bandejas)</t>
  </si>
  <si>
    <t xml:space="preserve">Goma (sacos)</t>
  </si>
  <si>
    <t>Margarina</t>
  </si>
  <si>
    <t xml:space="preserve">Requeijão (copos)</t>
  </si>
  <si>
    <t>Tudo</t>
  </si>
  <si>
    <t>Gatos</t>
  </si>
  <si>
    <t xml:space="preserve">Valor Ração</t>
  </si>
  <si>
    <t xml:space="preserve">Sacos Ração/gato</t>
  </si>
  <si>
    <t xml:space="preserve">Valor Terra</t>
  </si>
  <si>
    <t xml:space="preserve">Sacos Terra/gato</t>
  </si>
  <si>
    <t>Saúde/gato</t>
  </si>
  <si>
    <t xml:space="preserve">Saúde geral</t>
  </si>
  <si>
    <t>Conta</t>
  </si>
  <si>
    <t>Valor</t>
  </si>
  <si>
    <t>Pago</t>
  </si>
  <si>
    <t>Investimento</t>
  </si>
  <si>
    <t>Sugerido</t>
  </si>
  <si>
    <t>Investido</t>
  </si>
  <si>
    <t>Devendo</t>
  </si>
  <si>
    <t>Saldo</t>
  </si>
  <si>
    <t>Sujestões</t>
  </si>
  <si>
    <t xml:space="preserve">Não programado</t>
  </si>
  <si>
    <t>Renda</t>
  </si>
  <si>
    <t>Aluguel</t>
  </si>
  <si>
    <t>Comida</t>
  </si>
  <si>
    <t>Entretenimento</t>
  </si>
  <si>
    <t xml:space="preserve">Cartão Nu</t>
  </si>
  <si>
    <t>Saúde</t>
  </si>
  <si>
    <t xml:space="preserve">Cartão Will</t>
  </si>
  <si>
    <t xml:space="preserve">Cartão Marisa</t>
  </si>
  <si>
    <t>Poupança</t>
  </si>
  <si>
    <t>Pablo</t>
  </si>
  <si>
    <t>Transporte</t>
  </si>
  <si>
    <t>Mamãe</t>
  </si>
  <si>
    <t>Academia</t>
  </si>
  <si>
    <t>Sócrates</t>
  </si>
  <si>
    <t xml:space="preserve">Nu (cartão)</t>
  </si>
  <si>
    <t xml:space="preserve">Will (cartão)</t>
  </si>
  <si>
    <t xml:space="preserve">Marisa (cartão)</t>
  </si>
  <si>
    <t xml:space="preserve">BB (cartão)</t>
  </si>
  <si>
    <t>Itaú</t>
  </si>
  <si>
    <t xml:space="preserve">PicPay (cartão)</t>
  </si>
  <si>
    <t xml:space="preserve">Itaú (cartão)</t>
  </si>
  <si>
    <t xml:space="preserve">Mercado Pago (cartão)</t>
  </si>
  <si>
    <t xml:space="preserve">Psicóloga (Bea)</t>
  </si>
  <si>
    <t>Ritalina</t>
  </si>
  <si>
    <t>Caicó</t>
  </si>
  <si>
    <t xml:space="preserve">Beatriz (psic.)</t>
  </si>
  <si>
    <t xml:space="preserve">Comida (cris)</t>
  </si>
  <si>
    <t xml:space="preserve">Cris (psiq.)</t>
  </si>
  <si>
    <t xml:space="preserve">Gatos (ração/terra)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</si>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</sst>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m/d"/>
    <numFmt numFmtId="165" formatCode="&quot;$&quot;#,##0.00"/>
  </numFmts>
  <fonts count="4">
    <font>
      <sz val="10.000000"/>
      <color indexed="64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applyAlignment="1">
      <alignment readingOrder="0"/>
    </xf>
    <xf fontId="1" fillId="0" borderId="0" numFmtId="0" xfId="0" applyFont="1" applyAlignment="1">
      <alignment horizontal="left" readingOrder="0" vertical="center"/>
    </xf>
    <xf fontId="2" fillId="0" borderId="0" numFmtId="0" xfId="0" applyFont="1" applyAlignment="1">
      <alignment horizontal="left" readingOrder="0" vertical="center"/>
    </xf>
    <xf fontId="1" fillId="0" borderId="0" numFmtId="0" xfId="0" applyFont="1" applyAlignment="1">
      <alignment readingOrder="0" vertical="center"/>
    </xf>
    <xf fontId="2" fillId="0" borderId="0" numFmtId="0" xfId="0" applyFont="1" applyAlignment="1">
      <alignment vertical="center"/>
    </xf>
    <xf fontId="1" fillId="0" borderId="0" numFmtId="0" xfId="0" applyFont="1" applyAlignment="1">
      <alignment readingOrder="0"/>
    </xf>
    <xf fontId="1" fillId="0" borderId="0" numFmtId="164" xfId="0" applyNumberFormat="1" applyFont="1" applyAlignment="1">
      <alignment readingOrder="0"/>
    </xf>
    <xf fontId="1" fillId="0" borderId="0" numFmtId="0" xfId="0" applyFont="1"/>
    <xf fontId="1" fillId="0" borderId="0" numFmtId="0" xfId="0" applyFont="1" applyAlignment="1">
      <alignment vertical="center"/>
    </xf>
    <xf fontId="1" fillId="0" borderId="0" numFmtId="49" xfId="0" applyNumberFormat="1" applyFont="1" applyAlignment="1">
      <alignment horizontal="left" readingOrder="0" vertical="center"/>
    </xf>
    <xf fontId="3" fillId="2" borderId="0" numFmtId="0" xfId="0" applyFont="1" applyFill="1" applyAlignment="1">
      <alignment readingOrder="0" vertical="center"/>
    </xf>
    <xf fontId="3" fillId="2" borderId="0" numFmtId="0" xfId="0" applyFont="1" applyFill="1" applyAlignment="1">
      <alignment horizontal="right" readingOrder="0" vertical="center"/>
    </xf>
    <xf fontId="1" fillId="0" borderId="0" numFmtId="49" xfId="0" applyNumberFormat="1" applyFont="1" applyAlignment="1">
      <alignment readingOrder="0" vertical="center"/>
    </xf>
    <xf fontId="3" fillId="2" borderId="0" numFmtId="0" xfId="0" applyFont="1" applyFill="1" applyAlignment="1">
      <alignment readingOrder="0"/>
    </xf>
    <xf fontId="3" fillId="2" borderId="0" numFmtId="0" xfId="0" applyFont="1" applyFill="1" applyAlignment="1">
      <alignment horizontal="right" readingOrder="0"/>
    </xf>
    <xf fontId="1" fillId="0" borderId="0" numFmtId="165" xfId="0" applyNumberFormat="1" applyFont="1" applyAlignment="1">
      <alignment readingOrder="0" vertical="center"/>
    </xf>
    <xf fontId="1" fillId="0" borderId="0" numFmtId="165" xfId="0" applyNumberFormat="1" applyFont="1"/>
    <xf fontId="1" fillId="0" borderId="0" numFmtId="49" xfId="0" applyNumberFormat="1" applyFont="1" applyAlignment="1">
      <alignment readingOrder="0"/>
    </xf>
    <xf fontId="1" fillId="0" borderId="0" numFmtId="165" xfId="0" applyNumberFormat="1" applyFont="1" applyAlignment="1">
      <alignment readingOrder="0"/>
    </xf>
  </cellXfs>
  <cellStyles count="1">
    <cellStyle name="Normal" xfId="0" builtinId="0"/>
  </cellStyles>
  <dxfs count="132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5B3F86"/>
          <bgColor rgb="FF5B3F86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33" defaultTableStyle="TableStyleMedium2" defaultPivotStyle="PivotStyleLight16">
    <tableStyle name="Renda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  <tableStyle name="Comida-style" pivot="0" count="4">
      <tableStyleElement type="firstRowStripe" size="1" dxfId="4"/>
      <tableStyleElement type="headerRow" size="1" dxfId="5"/>
      <tableStyleElement type="secondRowStripe" size="1" dxfId="6"/>
      <tableStyleElement type="wholeTable" size="0" dxfId="7"/>
    </tableStyle>
    <tableStyle name="Comida-style 2" pivot="0" count="4">
      <tableStyleElement type="firstRowStripe" size="1" dxfId="8"/>
      <tableStyleElement type="headerRow" size="1" dxfId="9"/>
      <tableStyleElement type="secondRowStripe" size="1" dxfId="10"/>
      <tableStyleElement type="wholeTable" size="0" dxfId="11"/>
    </tableStyle>
    <tableStyle name="Comida-style 3" pivot="0" count="4">
      <tableStyleElement type="firstRowStripe" size="1" dxfId="12"/>
      <tableStyleElement type="headerRow" size="1" dxfId="13"/>
      <tableStyleElement type="secondRowStripe" size="1" dxfId="14"/>
      <tableStyleElement type="wholeTable" size="0" dxfId="15"/>
    </tableStyle>
    <tableStyle name="Gatos-style" pivot="0" count="4">
      <tableStyleElement type="firstRowStripe" size="1" dxfId="16"/>
      <tableStyleElement type="headerRow" size="1" dxfId="17"/>
      <tableStyleElement type="secondRowStripe" size="1" dxfId="18"/>
      <tableStyleElement type="wholeTable" size="0" dxfId="19"/>
    </tableStyle>
    <tableStyle name="825-style" pivot="0" count="4">
      <tableStyleElement type="firstRowStripe" size="1" dxfId="20"/>
      <tableStyleElement type="headerRow" size="1" dxfId="21"/>
      <tableStyleElement type="secondRowStripe" size="1" dxfId="22"/>
      <tableStyleElement type="wholeTable" size="0" dxfId="23"/>
    </tableStyle>
    <tableStyle name="825-style 2" pivot="0" count="4">
      <tableStyleElement type="firstRowStripe" size="1" dxfId="24"/>
      <tableStyleElement type="headerRow" size="1" dxfId="25"/>
      <tableStyleElement type="secondRowStripe" size="1" dxfId="26"/>
      <tableStyleElement type="wholeTable" size="0" dxfId="27"/>
    </tableStyle>
    <tableStyle name="825-style 3" pivot="0" count="4">
      <tableStyleElement type="firstRowStripe" size="1" dxfId="28"/>
      <tableStyleElement type="headerRow" size="1" dxfId="29"/>
      <tableStyleElement type="secondRowStripe" size="1" dxfId="30"/>
      <tableStyleElement type="wholeTable" size="0" dxfId="31"/>
    </tableStyle>
    <tableStyle name="825-style 4" pivot="0" count="4">
      <tableStyleElement type="firstRowStripe" size="1" dxfId="32"/>
      <tableStyleElement type="headerRow" size="1" dxfId="33"/>
      <tableStyleElement type="secondRowStripe" size="1" dxfId="34"/>
      <tableStyleElement type="wholeTable" size="0" dxfId="35"/>
    </tableStyle>
    <tableStyle name="925-style" pivot="0" count="4">
      <tableStyleElement type="firstRowStripe" size="1" dxfId="36"/>
      <tableStyleElement type="headerRow" size="1" dxfId="37"/>
      <tableStyleElement type="secondRowStripe" size="1" dxfId="38"/>
      <tableStyleElement type="wholeTable" size="0" dxfId="39"/>
    </tableStyle>
    <tableStyle name="925-style 2" pivot="0" count="4">
      <tableStyleElement type="firstRowStripe" size="1" dxfId="40"/>
      <tableStyleElement type="headerRow" size="1" dxfId="41"/>
      <tableStyleElement type="secondRowStripe" size="1" dxfId="42"/>
      <tableStyleElement type="wholeTable" size="0" dxfId="43"/>
    </tableStyle>
    <tableStyle name="925-style 3" pivot="0" count="4">
      <tableStyleElement type="firstRowStripe" size="1" dxfId="44"/>
      <tableStyleElement type="headerRow" size="1" dxfId="45"/>
      <tableStyleElement type="secondRowStripe" size="1" dxfId="46"/>
      <tableStyleElement type="wholeTable" size="0" dxfId="47"/>
    </tableStyle>
    <tableStyle name="1025-style" pivot="0" count="4">
      <tableStyleElement type="firstRowStripe" size="1" dxfId="48"/>
      <tableStyleElement type="headerRow" size="1" dxfId="49"/>
      <tableStyleElement type="secondRowStripe" size="1" dxfId="50"/>
      <tableStyleElement type="wholeTable" size="0" dxfId="51"/>
    </tableStyle>
    <tableStyle name="1025-style 2" pivot="0" count="4">
      <tableStyleElement type="firstRowStripe" size="1" dxfId="52"/>
      <tableStyleElement type="headerRow" size="1" dxfId="53"/>
      <tableStyleElement type="secondRowStripe" size="1" dxfId="54"/>
      <tableStyleElement type="wholeTable" size="0" dxfId="55"/>
    </tableStyle>
    <tableStyle name="1025-style 3" pivot="0" count="4">
      <tableStyleElement type="firstRowStripe" size="1" dxfId="56"/>
      <tableStyleElement type="headerRow" size="1" dxfId="57"/>
      <tableStyleElement type="secondRowStripe" size="1" dxfId="58"/>
      <tableStyleElement type="wholeTable" size="0" dxfId="59"/>
    </tableStyle>
    <tableStyle name="1125-style" pivot="0" count="4">
      <tableStyleElement type="firstRowStripe" size="1" dxfId="60"/>
      <tableStyleElement type="headerRow" size="1" dxfId="61"/>
      <tableStyleElement type="secondRowStripe" size="1" dxfId="62"/>
      <tableStyleElement type="wholeTable" size="0" dxfId="63"/>
    </tableStyle>
    <tableStyle name="1125-style 2" pivot="0" count="4">
      <tableStyleElement type="firstRowStripe" size="1" dxfId="64"/>
      <tableStyleElement type="headerRow" size="1" dxfId="65"/>
      <tableStyleElement type="secondRowStripe" size="1" dxfId="66"/>
      <tableStyleElement type="wholeTable" size="0" dxfId="67"/>
    </tableStyle>
    <tableStyle name="1125-style 3" pivot="0" count="4">
      <tableStyleElement type="firstRowStripe" size="1" dxfId="68"/>
      <tableStyleElement type="headerRow" size="1" dxfId="69"/>
      <tableStyleElement type="secondRowStripe" size="1" dxfId="70"/>
      <tableStyleElement type="wholeTable" size="0" dxfId="71"/>
    </tableStyle>
    <tableStyle name="1225-style" pivot="0" count="4">
      <tableStyleElement type="firstRowStripe" size="1" dxfId="72"/>
      <tableStyleElement type="headerRow" size="1" dxfId="73"/>
      <tableStyleElement type="secondRowStripe" size="1" dxfId="74"/>
      <tableStyleElement type="wholeTable" size="0" dxfId="75"/>
    </tableStyle>
    <tableStyle name="1225-style 2" pivot="0" count="4">
      <tableStyleElement type="firstRowStripe" size="1" dxfId="76"/>
      <tableStyleElement type="headerRow" size="1" dxfId="77"/>
      <tableStyleElement type="secondRowStripe" size="1" dxfId="78"/>
      <tableStyleElement type="wholeTable" size="0" dxfId="79"/>
    </tableStyle>
    <tableStyle name="1225-style 3" pivot="0" count="4">
      <tableStyleElement type="firstRowStripe" size="1" dxfId="80"/>
      <tableStyleElement type="headerRow" size="1" dxfId="81"/>
      <tableStyleElement type="secondRowStripe" size="1" dxfId="82"/>
      <tableStyleElement type="wholeTable" size="0" dxfId="83"/>
    </tableStyle>
    <tableStyle name="0126-style" pivot="0" count="4">
      <tableStyleElement type="firstRowStripe" size="1" dxfId="84"/>
      <tableStyleElement type="headerRow" size="1" dxfId="85"/>
      <tableStyleElement type="secondRowStripe" size="1" dxfId="86"/>
      <tableStyleElement type="wholeTable" size="0" dxfId="87"/>
    </tableStyle>
    <tableStyle name="0126-style 2" pivot="0" count="4">
      <tableStyleElement type="firstRowStripe" size="1" dxfId="88"/>
      <tableStyleElement type="headerRow" size="1" dxfId="89"/>
      <tableStyleElement type="secondRowStripe" size="1" dxfId="90"/>
      <tableStyleElement type="wholeTable" size="0" dxfId="91"/>
    </tableStyle>
    <tableStyle name="0126-style 3" pivot="0" count="4">
      <tableStyleElement type="firstRowStripe" size="1" dxfId="92"/>
      <tableStyleElement type="headerRow" size="1" dxfId="93"/>
      <tableStyleElement type="secondRowStripe" size="1" dxfId="94"/>
      <tableStyleElement type="wholeTable" size="0" dxfId="95"/>
    </tableStyle>
    <tableStyle name="0226-style" pivot="0" count="4">
      <tableStyleElement type="firstRowStripe" size="1" dxfId="96"/>
      <tableStyleElement type="headerRow" size="1" dxfId="97"/>
      <tableStyleElement type="secondRowStripe" size="1" dxfId="98"/>
      <tableStyleElement type="wholeTable" size="0" dxfId="99"/>
    </tableStyle>
    <tableStyle name="0226-style 2" pivot="0" count="4">
      <tableStyleElement type="firstRowStripe" size="1" dxfId="100"/>
      <tableStyleElement type="headerRow" size="1" dxfId="101"/>
      <tableStyleElement type="secondRowStripe" size="1" dxfId="102"/>
      <tableStyleElement type="wholeTable" size="0" dxfId="103"/>
    </tableStyle>
    <tableStyle name="0226-style 3" pivot="0" count="4">
      <tableStyleElement type="firstRowStripe" size="1" dxfId="104"/>
      <tableStyleElement type="headerRow" size="1" dxfId="105"/>
      <tableStyleElement type="secondRowStripe" size="1" dxfId="106"/>
      <tableStyleElement type="wholeTable" size="0" dxfId="107"/>
    </tableStyle>
    <tableStyle name="0526-style" pivot="0" count="4">
      <tableStyleElement type="firstRowStripe" size="1" dxfId="108"/>
      <tableStyleElement type="headerRow" size="1" dxfId="109"/>
      <tableStyleElement type="secondRowStripe" size="1" dxfId="110"/>
      <tableStyleElement type="wholeTable" size="0" dxfId="111"/>
    </tableStyle>
    <tableStyle name="0526-style 2" pivot="0" count="4">
      <tableStyleElement type="firstRowStripe" size="1" dxfId="112"/>
      <tableStyleElement type="headerRow" size="1" dxfId="113"/>
      <tableStyleElement type="secondRowStripe" size="1" dxfId="114"/>
      <tableStyleElement type="wholeTable" size="0" dxfId="115"/>
    </tableStyle>
    <tableStyle name="0526-style 3" pivot="0" count="4">
      <tableStyleElement type="firstRowStripe" size="1" dxfId="116"/>
      <tableStyleElement type="headerRow" size="1" dxfId="117"/>
      <tableStyleElement type="secondRowStripe" size="1" dxfId="118"/>
      <tableStyleElement type="wholeTable" size="0" dxfId="119"/>
    </tableStyle>
    <tableStyle name="Mudança-style" pivot="0" count="4">
      <tableStyleElement type="firstRowStripe" size="1" dxfId="120"/>
      <tableStyleElement type="headerRow" size="1" dxfId="121"/>
      <tableStyleElement type="secondRowStripe" size="1" dxfId="122"/>
      <tableStyleElement type="wholeTable" size="0" dxfId="123"/>
    </tableStyle>
    <tableStyle name="Mudança-style 2" pivot="0" count="4">
      <tableStyleElement type="firstRowStripe" size="1" dxfId="124"/>
      <tableStyleElement type="headerRow" size="1" dxfId="125"/>
      <tableStyleElement type="secondRowStripe" size="1" dxfId="126"/>
      <tableStyleElement type="wholeTable" size="0" dxfId="127"/>
    </tableStyle>
    <tableStyle name="Mudança-style 3" pivot="0" count="4">
      <tableStyleElement type="firstRowStripe" size="1" dxfId="128"/>
      <tableStyleElement type="headerRow" size="1" dxfId="129"/>
      <tableStyleElement type="secondRowStripe" size="1" dxfId="130"/>
      <tableStyleElement type="wholeTable" size="0" dxfId="13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Renda" ref="A1:E2">
  <tableColumns count="5">
    <tableColumn id="1" name="CLT"/>
    <tableColumn id="2" name="RPA"/>
    <tableColumn id="3" name="Comida (papai)"/>
    <tableColumn id="4" name="Psicóloga"/>
    <tableColumn id="5" name="TOTAL"/>
  </tableColumns>
  <tableStyleInfo name="Rend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Quantidades" ref="A1:E2">
  <tableColumns count="5">
    <tableColumn id="1" name="Almoço - RU"/>
    <tableColumn id="2" name="Almoço - Comprado"/>
    <tableColumn id="3" name="Jantar - RU"/>
    <tableColumn id="4" name="Café"/>
    <tableColumn id="5" name="Lanches"/>
  </tableColumns>
  <tableStyleInfo name="Comid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Valores" ref="A4:E5">
  <tableColumns count="5">
    <tableColumn id="1" name="Almoço - RU"/>
    <tableColumn id="2" name="Almoço - Comprado"/>
    <tableColumn id="3" name="Jantar - RU"/>
    <tableColumn id="4" name="Café"/>
    <tableColumn id="5" name="Lanches"/>
  </tableColumns>
  <tableStyleInfo name="Comida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otais" ref="A7:F8">
  <tableColumns count="6">
    <tableColumn id="1" name="Almoço - RU"/>
    <tableColumn id="2" name="Almoço - Comprado"/>
    <tableColumn id="3" name="Jantar - RU"/>
    <tableColumn id="4" name="Café"/>
    <tableColumn id="5" name="Lanches"/>
    <tableColumn id="6" name="Tudo"/>
  </tableColumns>
  <tableStyleInfo name="Comida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5" ref="A1:H2">
  <tableColumns count="8">
    <tableColumn id="1" name="Gatos"/>
    <tableColumn id="2" name="Valor Ração"/>
    <tableColumn id="3" name="Sacos Ração/gato"/>
    <tableColumn id="4" name="Valor Terra"/>
    <tableColumn id="5" name="Sacos Terra/gato"/>
    <tableColumn id="6" name="Saúde/gato"/>
    <tableColumn id="7" name="Saúde geral"/>
    <tableColumn id="8" name="TOTAL"/>
  </tableColumns>
  <tableStyleInfo name="Gato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able9" ref="A1:C9">
  <tableColumns count="3">
    <tableColumn id="1" name="Conta"/>
    <tableColumn id="2" name="Valor"/>
    <tableColumn id="3" name="Pago"/>
  </tableColumns>
  <tableStyleInfo name="925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Table13" ref="D1:F8">
  <tableColumns count="3">
    <tableColumn id="1" name="Investimento"/>
    <tableColumn id="2" name="Sugerido"/>
    <tableColumn id="3" name="Investido"/>
  </tableColumns>
  <tableStyleInfo name="925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Table6" ref="G1:L2">
  <tableColumns count="6">
    <tableColumn id="1" name="Devendo"/>
    <tableColumn id="2" name="Investido"/>
    <tableColumn id="3" name="Saldo"/>
    <tableColumn id="4" name="Sujestões"/>
    <tableColumn id="5" name="Não programado"/>
    <tableColumn id="6" name="Renda"/>
  </tableColumns>
  <tableStyleInfo name="925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Table9_2" ref="A1:C12">
  <tableColumns count="3">
    <tableColumn id="1" name="Conta"/>
    <tableColumn id="2" name="Valor"/>
    <tableColumn id="3" name="Pago"/>
  </tableColumns>
  <tableStyleInfo name="1025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Table13_2" ref="D1:F7">
  <tableColumns count="3">
    <tableColumn id="1" name="Investimento"/>
    <tableColumn id="2" name="Sugerido"/>
    <tableColumn id="3" name="Investido"/>
  </tableColumns>
  <tableStyleInfo name="1025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Table6_2" ref="G1:L2">
  <tableColumns count="6">
    <tableColumn id="1" name="Devendo"/>
    <tableColumn id="2" name="Investido"/>
    <tableColumn id="3" name="Saldo"/>
    <tableColumn id="4" name="Sujestões"/>
    <tableColumn id="5" name="Não programado"/>
    <tableColumn id="6" name="Renda"/>
  </tableColumns>
  <tableStyleInfo name="1025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Table9_3" ref="A1:C15">
  <tableColumns count="3">
    <tableColumn id="1" name="Conta"/>
    <tableColumn id="2" name="Valor"/>
    <tableColumn id="3" name="Pago"/>
  </tableColumns>
  <tableStyleInfo name="1125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Table13_3" ref="D1:F7">
  <tableColumns count="3">
    <tableColumn id="1" name="Investimento"/>
    <tableColumn id="2" name="Sugerido"/>
    <tableColumn id="3" name="Investido"/>
  </tableColumns>
  <tableStyleInfo name="1125-style 2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displayName="Table6_3" ref="G1:L2">
  <tableColumns count="6">
    <tableColumn id="1" name="Devendo"/>
    <tableColumn id="2" name="Investido"/>
    <tableColumn id="3" name="Saldo"/>
    <tableColumn id="4" name="Sujestões"/>
    <tableColumn id="5" name="Não programado"/>
    <tableColumn id="6" name="Renda"/>
  </tableColumns>
  <tableStyleInfo name="1125-style 3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displayName="Table9_7" ref="A1:C9">
  <tableColumns count="3">
    <tableColumn id="1" name="Conta"/>
    <tableColumn id="2" name="Valor"/>
    <tableColumn id="3" name="Pago"/>
  </tableColumns>
  <tableStyleInfo name="0526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displayName="Table13_7" ref="D1:F6">
  <tableColumns count="3">
    <tableColumn id="1" name="Investimento"/>
    <tableColumn id="2" name="Sugerido"/>
    <tableColumn id="3" name="Investido"/>
  </tableColumns>
  <tableStyleInfo name="0526-style 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displayName="Table6_7" ref="G1:L2">
  <tableColumns count="6">
    <tableColumn id="1" name="Devendo"/>
    <tableColumn id="2" name="Investido"/>
    <tableColumn id="3" name="Saldo"/>
    <tableColumn id="4" name="Sujestões"/>
    <tableColumn id="5" name="Não programado"/>
    <tableColumn id="6" name="Renda"/>
  </tableColumns>
  <tableStyleInfo name="0526-style 3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Relationship  Id="rId2" Type="http://schemas.openxmlformats.org/officeDocument/2006/relationships/table" Target="../tables/table3.xml"/><Relationship  Id="rId3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6.xml"/><Relationship  Id="rId2" Type="http://schemas.openxmlformats.org/officeDocument/2006/relationships/table" Target="../tables/table7.xml"/><Relationship  Id="rId3" Type="http://schemas.openxmlformats.org/officeDocument/2006/relationships/table" Target="../tables/table8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9.xml"/><Relationship  Id="rId2" Type="http://schemas.openxmlformats.org/officeDocument/2006/relationships/table" Target="../tables/table10.xml"/><Relationship  Id="rId3" Type="http://schemas.openxmlformats.org/officeDocument/2006/relationships/table" Target="../tables/table11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12.xml"/><Relationship  Id="rId2" Type="http://schemas.openxmlformats.org/officeDocument/2006/relationships/table" Target="../tables/table13.xml"/><Relationship  Id="rId3" Type="http://schemas.openxmlformats.org/officeDocument/2006/relationships/table" Target="../tables/table14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table" Target="../tables/table15.xml"/><Relationship  Id="rId2" Type="http://schemas.openxmlformats.org/officeDocument/2006/relationships/table" Target="../tables/table16.xml"/><Relationship  Id="rId3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4.630000000000001"/>
    <col customWidth="1" min="2" max="2" width="20.25"/>
    <col customWidth="1" min="3" max="3" width="20.129999999999999"/>
    <col customWidth="1" min="4" max="4" width="17.879999999999999"/>
    <col customWidth="1" min="5" max="5" width="23.5"/>
    <col customWidth="1" min="6" max="6" width="20.25"/>
    <col customWidth="1" min="7" max="7" width="13.63000000000000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>
        <v>2262</v>
      </c>
      <c r="B2" s="3">
        <v>700</v>
      </c>
      <c r="C2" s="3">
        <v>500</v>
      </c>
      <c r="D2" s="3">
        <v>400</v>
      </c>
      <c r="E2" s="4">
        <f>SUM(Renda[[CLT]:[Psicóloga]])</f>
        <v>3862</v>
      </c>
      <c r="F2" s="5"/>
    </row>
    <row r="3">
      <c r="L3" s="6"/>
    </row>
    <row r="4">
      <c r="A4" s="7"/>
      <c r="B4" s="7"/>
      <c r="C4" s="7"/>
      <c r="D4" s="7"/>
      <c r="E4" s="7"/>
    </row>
    <row r="5">
      <c r="A5" s="7"/>
      <c r="B5" s="7"/>
      <c r="C5" s="7"/>
      <c r="D5" s="7"/>
      <c r="E5" s="7"/>
    </row>
    <row r="7">
      <c r="A7" s="7"/>
      <c r="B7" s="7"/>
      <c r="C7" s="7"/>
      <c r="D7" s="7"/>
      <c r="E7" s="7"/>
      <c r="F7" s="7"/>
    </row>
    <row r="8">
      <c r="A8" s="7"/>
      <c r="B8" s="7"/>
      <c r="C8" s="7"/>
      <c r="D8" s="7"/>
      <c r="E8" s="7"/>
      <c r="F8" s="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20041-00EF-4F7F-885C-00F000170018}" type="custom" allowBlank="1" errorStyle="stop" imeMode="noControl" operator="between" showDropDown="1" showErrorMessage="0" showInputMessage="0">
          <x14:formula1>
            <xm:f>AND(ISNUMBER(A2),(NOT(OR(NOT(ISERROR(DATEVALUE(A2))), AND(ISNUMBER(A2), LEFT(CELL("format", A2))="D")))))</xm:f>
          </x14:formula1>
          <xm:sqref>A2:D2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4.630000000000001"/>
    <col customWidth="1" min="2" max="2" width="20.25"/>
    <col customWidth="1" min="3" max="3" width="13.630000000000001"/>
    <col customWidth="1" min="4" max="4" width="17.879999999999999"/>
    <col customWidth="1" min="5" max="5" width="23.5"/>
    <col customWidth="1" min="6" max="6" width="20.25"/>
    <col customWidth="1" min="7" max="7" width="13.630000000000001"/>
  </cols>
  <sheetData>
    <row r="1" ht="22.5" customHeight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ht="22.5" customHeight="1">
      <c r="A2" s="3">
        <v>4</v>
      </c>
      <c r="B2" s="3">
        <v>16</v>
      </c>
      <c r="C2" s="3">
        <v>28</v>
      </c>
      <c r="D2" s="3">
        <v>28</v>
      </c>
      <c r="E2" s="3">
        <v>28</v>
      </c>
      <c r="G2" s="5"/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</row>
    <row r="3">
      <c r="I3" s="5">
        <v>3</v>
      </c>
      <c r="J3" s="5">
        <v>15</v>
      </c>
      <c r="K3" s="5">
        <v>1</v>
      </c>
      <c r="L3" s="6">
        <v>45660</v>
      </c>
      <c r="M3" s="5">
        <v>1</v>
      </c>
    </row>
    <row r="4" ht="22.5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</row>
    <row r="5" ht="22.5" customHeight="1">
      <c r="A5" s="3">
        <v>8</v>
      </c>
      <c r="B5" s="3">
        <v>10</v>
      </c>
      <c r="C5" s="3">
        <v>8</v>
      </c>
      <c r="D5" s="3">
        <v>5</v>
      </c>
      <c r="E5" s="3">
        <v>5</v>
      </c>
    </row>
    <row r="7" ht="22.5" customHeight="1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15</v>
      </c>
    </row>
    <row r="8" ht="22.5" customHeight="1">
      <c r="A8" s="3">
        <f t="shared" ref="A8:E8" si="0">A2*A5</f>
        <v>32</v>
      </c>
      <c r="B8" s="3">
        <f t="shared" si="0"/>
        <v>160</v>
      </c>
      <c r="C8" s="3">
        <f t="shared" si="0"/>
        <v>224</v>
      </c>
      <c r="D8" s="3">
        <f t="shared" si="0"/>
        <v>140</v>
      </c>
      <c r="E8" s="3">
        <f t="shared" si="0"/>
        <v>140</v>
      </c>
      <c r="F8" s="8">
        <f>sum(Totais[[Almoço - RU]:[Lanches]])</f>
        <v>696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3">
    <tablePart r:id="rId1"/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0003E-0074-44B5-B097-001800AB0036}" type="custom" allowBlank="1" errorStyle="stop" imeMode="noControl" operator="between" showDropDown="1" showErrorMessage="0" showInputMessage="0">
          <x14:formula1>
            <xm:f>AND(ISNUMBER(A5),(NOT(OR(NOT(ISERROR(DATEVALUE(A5))), AND(ISNUMBER(A5), LEFT(CELL("format", A5))="D")))))</xm:f>
          </x14:formula1>
          <xm:sqref>A5:E5 A8:E8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2" max="2" width="17.629999999999999"/>
    <col customWidth="1" min="3" max="3" width="22.379999999999999"/>
    <col customWidth="1" min="4" max="4" width="16.879999999999999"/>
    <col customWidth="1" min="5" max="5" width="21.5"/>
    <col customWidth="1" min="6" max="6" width="17.379999999999999"/>
    <col customWidth="1" min="7" max="7" width="17.5"/>
  </cols>
  <sheetData>
    <row r="1" ht="22.5" customHeigh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2" t="s">
        <v>4</v>
      </c>
    </row>
    <row r="2" ht="22.5" customHeight="1">
      <c r="A2" s="3">
        <v>3</v>
      </c>
      <c r="B2" s="3">
        <v>20</v>
      </c>
      <c r="C2" s="3">
        <v>2</v>
      </c>
      <c r="D2" s="3">
        <v>7</v>
      </c>
      <c r="E2" s="3">
        <v>2</v>
      </c>
      <c r="F2" s="3">
        <v>0</v>
      </c>
      <c r="G2" s="3">
        <v>135</v>
      </c>
      <c r="H2" s="8">
        <f>SUM(Table5[Gatos]* SUM(Table5[[Valor Ração]:[Saúde/gato]]),Table5[Saúde geral])</f>
        <v>228</v>
      </c>
    </row>
    <row r="3">
      <c r="A3" s="7"/>
      <c r="B3" s="7"/>
      <c r="C3" s="7"/>
      <c r="D3" s="7"/>
      <c r="E3" s="7"/>
      <c r="F3" s="7"/>
      <c r="G3" s="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40013-0010-4E62-9CC5-0007007100BB}" type="custom" allowBlank="1" errorStyle="stop" imeMode="noControl" operator="between" showDropDown="1" showErrorMessage="0" showInputMessage="0">
          <x14:formula1>
            <xm:f>AND(ISNUMBER(B2),(NOT(OR(NOT(ISERROR(DATEVALUE(B2))), AND(ISNUMBER(B2), LEFT(CELL("format", B2))="D")))))</xm:f>
          </x14:formula1>
          <xm:sqref>B2:G2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4" max="4" width="15.25"/>
    <col customWidth="1" min="9" max="9" width="15.25"/>
    <col customWidth="1" min="10" max="10" width="13"/>
    <col customWidth="1" min="11" max="11" width="16"/>
    <col customWidth="1" min="12" max="12" width="21.25"/>
  </cols>
  <sheetData>
    <row r="1" ht="22.5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9" t="s">
        <v>28</v>
      </c>
      <c r="I1" s="1" t="s">
        <v>30</v>
      </c>
      <c r="J1" s="1" t="s">
        <v>31</v>
      </c>
      <c r="K1" s="1" t="s">
        <v>32</v>
      </c>
      <c r="L1" s="1" t="s">
        <v>33</v>
      </c>
    </row>
    <row r="2" ht="22.5" customHeight="1">
      <c r="A2" s="3" t="s">
        <v>34</v>
      </c>
      <c r="B2" s="3">
        <v>200</v>
      </c>
      <c r="C2" s="3">
        <v>200</v>
      </c>
      <c r="D2" s="10" t="s">
        <v>35</v>
      </c>
      <c r="E2" s="11">
        <v>600</v>
      </c>
      <c r="F2" s="11">
        <v>600</v>
      </c>
      <c r="G2" s="8">
        <f>SUM(B2:B1000)-SUM(C2:C1000)</f>
        <v>0</v>
      </c>
      <c r="H2" s="8">
        <f>SUM(F2:F1000)</f>
        <v>1574</v>
      </c>
      <c r="I2" s="8">
        <f>Table6[Renda]-SUM(C2:C1000)-Table6[Investido]</f>
        <v>953.66999999999996</v>
      </c>
      <c r="J2" s="8">
        <f>sum(E2:E1000)</f>
        <v>1968</v>
      </c>
      <c r="K2" s="8">
        <f>Table6[Renda]-Table6[Devendo]-Table6[Sujestões]</f>
        <v>1929</v>
      </c>
      <c r="L2" s="3">
        <v>3897</v>
      </c>
    </row>
    <row r="3" ht="22.5" customHeight="1">
      <c r="A3" s="3" t="s">
        <v>3</v>
      </c>
      <c r="B3" s="3">
        <v>225</v>
      </c>
      <c r="C3" s="3">
        <v>225</v>
      </c>
      <c r="D3" s="3" t="s">
        <v>36</v>
      </c>
      <c r="E3" s="3">
        <v>400</v>
      </c>
      <c r="F3" s="3">
        <v>400</v>
      </c>
    </row>
    <row r="4" ht="22.5" customHeight="1">
      <c r="A4" s="12" t="s">
        <v>37</v>
      </c>
      <c r="B4" s="3">
        <v>153.27000000000001</v>
      </c>
      <c r="C4" s="3">
        <v>153.27000000000001</v>
      </c>
      <c r="D4" s="3" t="s">
        <v>38</v>
      </c>
      <c r="E4" s="3">
        <v>50</v>
      </c>
      <c r="F4" s="3">
        <v>50</v>
      </c>
    </row>
    <row r="5" ht="22.5" customHeight="1">
      <c r="A5" s="12" t="s">
        <v>39</v>
      </c>
      <c r="B5" s="3">
        <v>356</v>
      </c>
      <c r="C5" s="3">
        <v>356</v>
      </c>
      <c r="D5" s="3" t="s">
        <v>16</v>
      </c>
      <c r="E5" s="3">
        <v>228</v>
      </c>
      <c r="F5" s="3">
        <v>228</v>
      </c>
    </row>
    <row r="6" ht="22.5" customHeight="1">
      <c r="A6" s="12" t="s">
        <v>40</v>
      </c>
      <c r="B6" s="3">
        <v>161.84999999999999</v>
      </c>
      <c r="C6" s="3">
        <v>161.84999999999999</v>
      </c>
      <c r="D6" s="3" t="s">
        <v>41</v>
      </c>
      <c r="E6" s="3">
        <v>500</v>
      </c>
      <c r="F6" s="3">
        <v>106</v>
      </c>
    </row>
    <row r="7" ht="22.5" customHeight="1">
      <c r="A7" s="12" t="s">
        <v>42</v>
      </c>
      <c r="B7" s="3">
        <v>60</v>
      </c>
      <c r="C7" s="3">
        <v>60</v>
      </c>
      <c r="D7" s="3" t="s">
        <v>43</v>
      </c>
      <c r="E7" s="3">
        <v>50</v>
      </c>
      <c r="F7" s="3">
        <v>50</v>
      </c>
    </row>
    <row r="8" ht="22.5" customHeight="1">
      <c r="A8" s="12" t="s">
        <v>44</v>
      </c>
      <c r="B8" s="3">
        <v>100</v>
      </c>
      <c r="C8" s="3">
        <v>100</v>
      </c>
      <c r="D8" s="3" t="s">
        <v>45</v>
      </c>
      <c r="E8" s="3">
        <v>140</v>
      </c>
      <c r="F8" s="3">
        <v>140</v>
      </c>
    </row>
    <row r="9" ht="22.5" customHeight="1">
      <c r="A9" s="12" t="s">
        <v>46</v>
      </c>
      <c r="B9" s="3">
        <v>113.20999999999999</v>
      </c>
      <c r="C9" s="3">
        <v>113.20999999999999</v>
      </c>
      <c r="E9" s="5"/>
      <c r="F9" s="5"/>
    </row>
    <row r="10">
      <c r="D10" s="7"/>
      <c r="F10" s="7"/>
      <c r="G10" s="7"/>
    </row>
    <row r="11">
      <c r="D11" s="7"/>
      <c r="E11" s="7"/>
      <c r="F11" s="7"/>
      <c r="G11" s="7"/>
    </row>
    <row r="12">
      <c r="D12" s="7"/>
      <c r="E12" s="13"/>
      <c r="F12" s="14"/>
      <c r="G12" s="14"/>
    </row>
    <row r="13">
      <c r="D13" s="7"/>
      <c r="E13" s="5"/>
      <c r="F13" s="5"/>
      <c r="G13" s="5"/>
    </row>
    <row r="14">
      <c r="D14" s="7"/>
      <c r="E14" s="5"/>
      <c r="F14" s="5"/>
      <c r="G14" s="5"/>
    </row>
  </sheetData>
  <dataValidations count="1" disablePrompts="0">
    <dataValidation sqref="A2:A9" type="none" allowBlank="1" errorStyle="stop" imeMode="noControl" operator="between" showDropDown="1" showErrorMessage="0" showInputMessage="0"/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00EB002E-0094-47D3-993D-00F2006E00C2}">
            <xm:f>0</xm:f>
            <x14:dxf>
              <font>
                <b/>
                <color indexed="65"/>
              </font>
              <fill>
                <patternFill patternType="solid">
                  <fgColor rgb="FFEA4335"/>
                  <bgColor rgb="FFEA4335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G2</xm:sqref>
        </x14:conditionalFormatting>
        <x14:conditionalFormatting xmlns:xm="http://schemas.microsoft.com/office/excel/2006/main">
          <x14:cfRule type="cellIs" priority="2" operator="lessThanOrEqual" id="{004300BC-00F9-4E0D-8D51-00B7001E00AB}">
            <xm:f>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G2</xm:sqref>
        </x14:conditionalFormatting>
        <x14:conditionalFormatting xmlns:xm="http://schemas.microsoft.com/office/excel/2006/main">
          <x14:cfRule type="cellIs" priority="3" operator="greaterThan" id="{00040059-002A-4948-BE2F-00EC00D400A4}">
            <xm:f>100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</xm:sqref>
        </x14:conditionalFormatting>
        <x14:conditionalFormatting xmlns:xm="http://schemas.microsoft.com/office/excel/2006/main">
          <x14:cfRule type="cellIs" priority="4" operator="greaterThan" id="{00330081-00C0-4371-895F-00AD0060009B}">
            <xm:f>0</xm:f>
            <x14:dxf>
              <font>
                <b/>
              </font>
              <fill>
                <patternFill patternType="solid">
                  <fgColor rgb="FFF1C232"/>
                  <bgColor rgb="FFF1C232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</xm:sqref>
        </x14:conditionalFormatting>
        <x14:conditionalFormatting xmlns:xm="http://schemas.microsoft.com/office/excel/2006/main">
          <x14:cfRule type="cellIs" priority="5" operator="lessThan" id="{00B300ED-0046-4007-9E1D-00180073002E}">
            <xm:f>0</xm:f>
            <x14:dxf>
              <font>
                <b/>
                <color indexed="65"/>
              </font>
              <fill>
                <patternFill patternType="solid">
                  <fgColor rgb="FFEA4335"/>
                  <bgColor rgb="FFEA4335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</xm:sqref>
        </x14:conditionalFormatting>
        <x14:conditionalFormatting xmlns:xm="http://schemas.microsoft.com/office/excel/2006/main">
          <x14:cfRule type="cellIs" priority="6" operator="greaterThanOrEqual" id="{004200B4-009A-419D-BA2D-00DD00A40064}">
            <xm:f>L2-G2-50</xm:f>
            <x14:dxf>
              <font/>
              <fill>
                <patternFill patternType="solid">
                  <fgColor rgb="FFEA4335"/>
                  <bgColor rgb="FFEA4335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J2</xm:sqref>
        </x14:conditionalFormatting>
        <x14:conditionalFormatting xmlns:xm="http://schemas.microsoft.com/office/excel/2006/main">
          <x14:cfRule type="cellIs" priority="7" operator="greaterThanOrEqual" id="{006600BB-00F5-40CB-A6BC-009B00A0006E}">
            <xm:f>L2-G2-100</xm:f>
            <x14:dxf>
              <font>
                <b/>
                <color indexed="65"/>
              </font>
              <fill>
                <patternFill patternType="solid">
                  <fgColor rgb="FFFBBC04"/>
                  <bgColor rgb="FFFBBC04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J2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5600FA-00E5-4F28-BAA8-006400680055}" type="custom" allowBlank="1" errorStyle="stop" imeMode="noControl" operator="between" showDropDown="1" showErrorMessage="0" showInputMessage="0">
          <x14:formula1>
            <xm:f>AND(ISNUMBER(B2),(NOT(OR(NOT(ISERROR(DATEVALUE(B2))), AND(ISNUMBER(B2), LEFT(CELL("format", B2))="D")))))</xm:f>
          </x14:formula1>
          <xm:sqref>G2 I2:L2 E2:F8 B2:C9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4" max="4" width="15.25"/>
    <col customWidth="1" min="9" max="9" width="15.25"/>
    <col customWidth="1" min="10" max="10" width="13"/>
    <col customWidth="1" min="11" max="11" width="16"/>
    <col customWidth="1" min="12" max="12" width="21.25"/>
  </cols>
  <sheetData>
    <row r="1" ht="22.5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9" t="s">
        <v>28</v>
      </c>
      <c r="I1" s="1" t="s">
        <v>30</v>
      </c>
      <c r="J1" s="1" t="s">
        <v>31</v>
      </c>
      <c r="K1" s="1" t="s">
        <v>32</v>
      </c>
      <c r="L1" s="1" t="s">
        <v>33</v>
      </c>
    </row>
    <row r="2" ht="22.5" customHeight="1">
      <c r="A2" s="3" t="s">
        <v>34</v>
      </c>
      <c r="B2" s="3">
        <v>225</v>
      </c>
      <c r="C2" s="3">
        <v>225</v>
      </c>
      <c r="D2" s="10" t="s">
        <v>35</v>
      </c>
      <c r="E2" s="11">
        <v>600</v>
      </c>
      <c r="F2" s="11">
        <v>600</v>
      </c>
      <c r="G2" s="8">
        <f>SUM(B2:B1000)-SUM(C2:C1000)</f>
        <v>0</v>
      </c>
      <c r="H2" s="8">
        <f>SUM(F2:F1000)</f>
        <v>1316</v>
      </c>
      <c r="I2" s="8">
        <f>Table6_2[Renda]-SUM(C2:C1000)-Table6_2[Investido]</f>
        <v>920.51999999999998</v>
      </c>
      <c r="J2" s="8">
        <f>sum(E2:E1000)</f>
        <v>2079.1300000000001</v>
      </c>
      <c r="K2" s="8">
        <f>Table6_2[Renda]-SUM(B2:B1000)-Table6_2[Sujestões]</f>
        <v>157.38999999999999</v>
      </c>
      <c r="L2" s="3">
        <v>3897</v>
      </c>
    </row>
    <row r="3" ht="22.5" customHeight="1">
      <c r="A3" s="3" t="s">
        <v>3</v>
      </c>
      <c r="B3" s="3">
        <v>300</v>
      </c>
      <c r="C3" s="3">
        <v>300</v>
      </c>
      <c r="D3" s="3" t="s">
        <v>36</v>
      </c>
      <c r="E3" s="3">
        <v>400</v>
      </c>
      <c r="F3" s="3">
        <v>400</v>
      </c>
    </row>
    <row r="4" ht="22.5" customHeight="1">
      <c r="A4" s="12" t="s">
        <v>47</v>
      </c>
      <c r="B4" s="3">
        <v>126.33</v>
      </c>
      <c r="C4" s="3">
        <v>126.33</v>
      </c>
      <c r="D4" s="3" t="s">
        <v>38</v>
      </c>
      <c r="E4" s="3">
        <v>50</v>
      </c>
      <c r="F4" s="3">
        <v>50</v>
      </c>
    </row>
    <row r="5" ht="22.5" customHeight="1">
      <c r="A5" s="12" t="s">
        <v>48</v>
      </c>
      <c r="B5" s="3">
        <v>164.91999999999999</v>
      </c>
      <c r="C5" s="3">
        <v>164.91999999999999</v>
      </c>
      <c r="D5" s="3" t="s">
        <v>16</v>
      </c>
      <c r="E5" s="3">
        <v>0</v>
      </c>
      <c r="F5" s="3">
        <v>0</v>
      </c>
    </row>
    <row r="6" ht="22.5" customHeight="1">
      <c r="A6" s="12" t="s">
        <v>49</v>
      </c>
      <c r="B6" s="3">
        <v>57</v>
      </c>
      <c r="C6" s="3">
        <v>57</v>
      </c>
      <c r="D6" s="3" t="s">
        <v>41</v>
      </c>
      <c r="E6" s="3">
        <v>989.13</v>
      </c>
      <c r="F6" s="3">
        <v>226</v>
      </c>
    </row>
    <row r="7" ht="22.5" customHeight="1">
      <c r="A7" s="12" t="s">
        <v>42</v>
      </c>
      <c r="B7" s="3">
        <v>60</v>
      </c>
      <c r="C7" s="3">
        <v>60</v>
      </c>
      <c r="D7" s="3" t="s">
        <v>43</v>
      </c>
      <c r="E7" s="3">
        <v>40</v>
      </c>
      <c r="F7" s="3">
        <v>40</v>
      </c>
    </row>
    <row r="8" ht="22.5" customHeight="1">
      <c r="A8" s="12" t="s">
        <v>44</v>
      </c>
      <c r="B8" s="3">
        <v>100</v>
      </c>
      <c r="C8" s="3">
        <v>100</v>
      </c>
      <c r="D8" s="5"/>
      <c r="E8" s="5"/>
      <c r="F8" s="5"/>
    </row>
    <row r="9" ht="22.5" customHeight="1">
      <c r="A9" s="12" t="s">
        <v>46</v>
      </c>
      <c r="B9" s="3">
        <v>106.70999999999999</v>
      </c>
      <c r="C9" s="3">
        <v>106.70999999999999</v>
      </c>
      <c r="E9" s="5"/>
      <c r="F9" s="5"/>
    </row>
    <row r="10" ht="22.5" customHeight="1">
      <c r="A10" s="12" t="s">
        <v>50</v>
      </c>
      <c r="B10" s="3">
        <v>417.22000000000003</v>
      </c>
      <c r="C10" s="3">
        <v>417.22000000000003</v>
      </c>
      <c r="D10" s="7"/>
      <c r="F10" s="7"/>
      <c r="G10" s="7"/>
    </row>
    <row r="11" ht="22.5" customHeight="1">
      <c r="A11" s="12" t="s">
        <v>51</v>
      </c>
      <c r="B11" s="3">
        <v>51.649999999999999</v>
      </c>
      <c r="C11" s="3">
        <v>51.649999999999999</v>
      </c>
      <c r="D11" s="7"/>
      <c r="E11" s="7"/>
      <c r="F11" s="7"/>
      <c r="G11" s="7"/>
    </row>
    <row r="12" ht="22.5" customHeight="1">
      <c r="A12" s="12" t="s">
        <v>52</v>
      </c>
      <c r="B12" s="3">
        <v>51.649999999999999</v>
      </c>
      <c r="C12" s="3">
        <v>51.649999999999999</v>
      </c>
      <c r="D12" s="7"/>
      <c r="E12" s="13"/>
      <c r="F12" s="14"/>
      <c r="G12" s="14"/>
    </row>
    <row r="13">
      <c r="A13" s="5"/>
      <c r="B13" s="5"/>
      <c r="C13" s="5"/>
      <c r="D13" s="7"/>
      <c r="E13" s="5"/>
      <c r="F13" s="5"/>
      <c r="G13" s="5"/>
    </row>
    <row r="14">
      <c r="D14" s="7"/>
      <c r="E14" s="5"/>
      <c r="F14" s="5"/>
      <c r="G14" s="5"/>
    </row>
  </sheetData>
  <dataValidations count="1" disablePrompts="0">
    <dataValidation sqref="A2:A12" type="none" allowBlank="1" errorStyle="stop" imeMode="noControl" operator="between" showDropDown="1" showErrorMessage="0" showInputMessage="0"/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00BD0013-0045-4B59-89B8-005800120059}">
            <xm:f>0</xm:f>
            <x14:dxf>
              <font>
                <b/>
                <color indexed="65"/>
              </font>
              <fill>
                <patternFill patternType="solid">
                  <fgColor rgb="FFEA4335"/>
                  <bgColor rgb="FFEA4335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G2</xm:sqref>
        </x14:conditionalFormatting>
        <x14:conditionalFormatting xmlns:xm="http://schemas.microsoft.com/office/excel/2006/main">
          <x14:cfRule type="cellIs" priority="2" operator="lessThanOrEqual" id="{00F900C9-00E3-468B-AEDB-002F00F100E9}">
            <xm:f>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G2</xm:sqref>
        </x14:conditionalFormatting>
        <x14:conditionalFormatting xmlns:xm="http://schemas.microsoft.com/office/excel/2006/main">
          <x14:cfRule type="cellIs" priority="3" operator="greaterThan" id="{00AF00B5-006B-4459-A15B-00B000640084}">
            <xm:f>100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</xm:sqref>
        </x14:conditionalFormatting>
        <x14:conditionalFormatting xmlns:xm="http://schemas.microsoft.com/office/excel/2006/main">
          <x14:cfRule type="cellIs" priority="4" operator="greaterThan" id="{00580052-006F-40FF-A6DF-0075001900D3}">
            <xm:f>0</xm:f>
            <x14:dxf>
              <font>
                <b/>
              </font>
              <fill>
                <patternFill patternType="solid">
                  <fgColor rgb="FFF1C232"/>
                  <bgColor rgb="FFF1C232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</xm:sqref>
        </x14:conditionalFormatting>
        <x14:conditionalFormatting xmlns:xm="http://schemas.microsoft.com/office/excel/2006/main">
          <x14:cfRule type="cellIs" priority="5" operator="lessThan" id="{00D80098-00CC-4BEF-8BB7-00B800AA0082}">
            <xm:f>0</xm:f>
            <x14:dxf>
              <font>
                <b/>
                <color indexed="65"/>
              </font>
              <fill>
                <patternFill patternType="solid">
                  <fgColor rgb="FFEA4335"/>
                  <bgColor rgb="FFEA4335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</xm:sqref>
        </x14:conditionalFormatting>
        <x14:conditionalFormatting xmlns:xm="http://schemas.microsoft.com/office/excel/2006/main">
          <x14:cfRule type="cellIs" priority="6" operator="greaterThanOrEqual" id="{002F0041-0028-43AB-B4CC-005F00C700BD}">
            <xm:f>L2-G2-50</xm:f>
            <x14:dxf>
              <font/>
              <fill>
                <patternFill patternType="solid">
                  <fgColor rgb="FFEA4335"/>
                  <bgColor rgb="FFEA4335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J2</xm:sqref>
        </x14:conditionalFormatting>
        <x14:conditionalFormatting xmlns:xm="http://schemas.microsoft.com/office/excel/2006/main">
          <x14:cfRule type="cellIs" priority="7" operator="greaterThanOrEqual" id="{00310095-0033-435D-923A-007E00F2008D}">
            <xm:f>L2-G2-100</xm:f>
            <x14:dxf>
              <font>
                <b/>
                <color indexed="65"/>
              </font>
              <fill>
                <patternFill patternType="solid">
                  <fgColor rgb="FFFBBC04"/>
                  <bgColor rgb="FFFBBC04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J2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FC00A4-007E-437A-B257-002C000B004D}" type="custom" allowBlank="1" errorStyle="stop" imeMode="noControl" operator="between" showDropDown="1" showErrorMessage="0" showInputMessage="0">
          <x14:formula1>
            <xm:f>AND(ISNUMBER(B2),(NOT(OR(NOT(ISERROR(DATEVALUE(B2))), AND(ISNUMBER(B2), LEFT(CELL("format", B2))="D")))))</xm:f>
          </x14:formula1>
          <xm:sqref>G2 I2:L2 E2:F7 B2:C12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4" max="4" width="15.25"/>
    <col customWidth="1" min="9" max="9" width="15.25"/>
    <col customWidth="1" min="10" max="10" width="13"/>
    <col customWidth="1" min="11" max="11" width="16"/>
    <col customWidth="1" min="12" max="12" width="21.25"/>
  </cols>
  <sheetData>
    <row r="1" ht="22.5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9" t="s">
        <v>28</v>
      </c>
      <c r="I1" s="1" t="s">
        <v>30</v>
      </c>
      <c r="J1" s="1" t="s">
        <v>31</v>
      </c>
      <c r="K1" s="1" t="s">
        <v>32</v>
      </c>
      <c r="L1" s="1" t="s">
        <v>33</v>
      </c>
    </row>
    <row r="2" ht="22.5" customHeight="1">
      <c r="A2" s="3" t="s">
        <v>34</v>
      </c>
      <c r="B2" s="3">
        <v>225</v>
      </c>
      <c r="C2" s="3">
        <v>225</v>
      </c>
      <c r="D2" s="10" t="s">
        <v>35</v>
      </c>
      <c r="E2" s="11">
        <v>600</v>
      </c>
      <c r="F2" s="11">
        <v>600</v>
      </c>
      <c r="G2" s="8">
        <f>SUM(B2:B1000)-SUM(C2:C1000)</f>
        <v>0</v>
      </c>
      <c r="H2" s="8">
        <f>SUM(F2:F1000)</f>
        <v>1506.53</v>
      </c>
      <c r="I2" s="8">
        <f>Table6_3[Renda]-SUM(C2:C1000)-Table6_3[Investido]</f>
        <v>715.96000000000004</v>
      </c>
      <c r="J2" s="8">
        <f>sum(E2:E1000)</f>
        <v>1580</v>
      </c>
      <c r="K2" s="8">
        <f>Table6_3[Renda]-Table6_3[Devendo]-Table6_3[Sujestões]</f>
        <v>2317</v>
      </c>
      <c r="L2" s="3">
        <v>3897</v>
      </c>
    </row>
    <row r="3" ht="22.5" customHeight="1">
      <c r="A3" s="3" t="s">
        <v>3</v>
      </c>
      <c r="B3" s="3">
        <v>300</v>
      </c>
      <c r="C3" s="3">
        <v>300</v>
      </c>
      <c r="D3" s="3" t="s">
        <v>36</v>
      </c>
      <c r="E3" s="3">
        <v>450</v>
      </c>
      <c r="F3" s="3">
        <v>400</v>
      </c>
    </row>
    <row r="4" ht="22.5" customHeight="1">
      <c r="A4" s="12" t="s">
        <v>47</v>
      </c>
      <c r="B4" s="3">
        <v>36.32</v>
      </c>
      <c r="C4" s="3">
        <v>36.32</v>
      </c>
      <c r="D4" s="3" t="s">
        <v>38</v>
      </c>
      <c r="E4" s="3">
        <v>0</v>
      </c>
      <c r="F4" s="3">
        <v>0</v>
      </c>
    </row>
    <row r="5" ht="22.5" customHeight="1">
      <c r="A5" s="12" t="s">
        <v>48</v>
      </c>
      <c r="B5" s="3">
        <v>110</v>
      </c>
      <c r="C5" s="3">
        <v>110</v>
      </c>
      <c r="D5" s="3" t="s">
        <v>16</v>
      </c>
      <c r="E5" s="3">
        <v>0</v>
      </c>
      <c r="F5" s="3">
        <v>0</v>
      </c>
    </row>
    <row r="6" ht="22.5" customHeight="1">
      <c r="A6" s="12" t="s">
        <v>49</v>
      </c>
      <c r="B6" s="3">
        <v>57</v>
      </c>
      <c r="C6" s="3">
        <v>57</v>
      </c>
      <c r="D6" s="3" t="s">
        <v>41</v>
      </c>
      <c r="E6" s="3">
        <v>500</v>
      </c>
      <c r="F6" s="3">
        <v>476.52999999999997</v>
      </c>
    </row>
    <row r="7" ht="22.5" customHeight="1">
      <c r="A7" s="12" t="s">
        <v>44</v>
      </c>
      <c r="B7" s="3">
        <v>100</v>
      </c>
      <c r="C7" s="3">
        <v>100</v>
      </c>
      <c r="D7" s="3" t="s">
        <v>43</v>
      </c>
      <c r="E7" s="3">
        <v>30</v>
      </c>
      <c r="F7" s="3">
        <v>30</v>
      </c>
    </row>
    <row r="8" ht="22.5" customHeight="1">
      <c r="A8" s="12" t="s">
        <v>46</v>
      </c>
      <c r="B8" s="3">
        <v>106.70999999999999</v>
      </c>
      <c r="C8" s="3">
        <v>106.70999999999999</v>
      </c>
      <c r="D8" s="5"/>
      <c r="E8" s="5"/>
      <c r="F8" s="5"/>
    </row>
    <row r="9" ht="22.5" customHeight="1">
      <c r="A9" s="12" t="s">
        <v>53</v>
      </c>
      <c r="B9" s="3">
        <v>51.850000000000001</v>
      </c>
      <c r="C9" s="3">
        <v>51.850000000000001</v>
      </c>
      <c r="E9" s="5"/>
      <c r="F9" s="5"/>
    </row>
    <row r="10" ht="22.5" customHeight="1">
      <c r="A10" s="12" t="s">
        <v>50</v>
      </c>
      <c r="B10" s="3">
        <v>288.97000000000003</v>
      </c>
      <c r="C10" s="3">
        <v>288.97000000000003</v>
      </c>
      <c r="D10" s="7"/>
      <c r="F10" s="7"/>
      <c r="G10" s="7"/>
    </row>
    <row r="11" ht="22.5" customHeight="1">
      <c r="A11" s="12" t="s">
        <v>52</v>
      </c>
      <c r="B11" s="3">
        <v>35.649999999999999</v>
      </c>
      <c r="C11" s="3">
        <v>35.649999999999999</v>
      </c>
      <c r="D11" s="5"/>
      <c r="E11" s="7"/>
      <c r="F11" s="7"/>
      <c r="G11" s="7"/>
    </row>
    <row r="12" ht="22.5" customHeight="1">
      <c r="A12" s="3" t="s">
        <v>54</v>
      </c>
      <c r="B12" s="3">
        <v>13.01</v>
      </c>
      <c r="C12" s="3">
        <v>13.01</v>
      </c>
      <c r="E12" s="13"/>
      <c r="F12" s="14"/>
      <c r="G12" s="14"/>
    </row>
    <row r="13" ht="22.5" customHeight="1">
      <c r="A13" s="12" t="s">
        <v>55</v>
      </c>
      <c r="B13" s="3">
        <v>160</v>
      </c>
      <c r="C13" s="3">
        <v>160</v>
      </c>
      <c r="D13" s="7"/>
      <c r="E13" s="5"/>
      <c r="F13" s="5"/>
      <c r="G13" s="5"/>
    </row>
    <row r="14" ht="22.5" customHeight="1">
      <c r="A14" s="12" t="s">
        <v>56</v>
      </c>
      <c r="B14" s="3">
        <v>40</v>
      </c>
      <c r="C14" s="3">
        <v>40</v>
      </c>
      <c r="D14" s="7"/>
      <c r="E14" s="5"/>
      <c r="F14" s="5"/>
      <c r="G14" s="5"/>
    </row>
    <row r="15" ht="22.5" customHeight="1">
      <c r="A15" s="12" t="s">
        <v>57</v>
      </c>
      <c r="B15" s="3">
        <v>150</v>
      </c>
      <c r="C15" s="3">
        <v>150</v>
      </c>
    </row>
  </sheetData>
  <dataValidations count="1" disablePrompts="0">
    <dataValidation sqref="A2:A15" type="none" allowBlank="1" errorStyle="stop" imeMode="noControl" operator="between" showDropDown="1" showErrorMessage="0" showInputMessage="0"/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00E500F0-0070-4028-8718-00D7005C0028}">
            <xm:f>0</xm:f>
            <x14:dxf>
              <font>
                <b/>
                <color indexed="65"/>
              </font>
              <fill>
                <patternFill patternType="solid">
                  <fgColor rgb="FFEA4335"/>
                  <bgColor rgb="FFEA4335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G2</xm:sqref>
        </x14:conditionalFormatting>
        <x14:conditionalFormatting xmlns:xm="http://schemas.microsoft.com/office/excel/2006/main">
          <x14:cfRule type="cellIs" priority="2" operator="lessThanOrEqual" id="{00050011-006F-4978-92C8-002D004F0037}">
            <xm:f>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G2</xm:sqref>
        </x14:conditionalFormatting>
        <x14:conditionalFormatting xmlns:xm="http://schemas.microsoft.com/office/excel/2006/main">
          <x14:cfRule type="cellIs" priority="3" operator="greaterThan" id="{001000EF-0081-41C3-B5B6-00EB008F0061}">
            <xm:f>100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</xm:sqref>
        </x14:conditionalFormatting>
        <x14:conditionalFormatting xmlns:xm="http://schemas.microsoft.com/office/excel/2006/main">
          <x14:cfRule type="cellIs" priority="4" operator="greaterThan" id="{00C30003-0000-449A-B4EA-005C001C008C}">
            <xm:f>0</xm:f>
            <x14:dxf>
              <font>
                <b/>
              </font>
              <fill>
                <patternFill patternType="solid">
                  <fgColor rgb="FFF1C232"/>
                  <bgColor rgb="FFF1C232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</xm:sqref>
        </x14:conditionalFormatting>
        <x14:conditionalFormatting xmlns:xm="http://schemas.microsoft.com/office/excel/2006/main">
          <x14:cfRule type="cellIs" priority="5" operator="lessThan" id="{0082006A-00CA-484A-90B8-00DA00DA005C}">
            <xm:f>0</xm:f>
            <x14:dxf>
              <font>
                <b/>
                <color indexed="65"/>
              </font>
              <fill>
                <patternFill patternType="solid">
                  <fgColor rgb="FFEA4335"/>
                  <bgColor rgb="FFEA4335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</xm:sqref>
        </x14:conditionalFormatting>
        <x14:conditionalFormatting xmlns:xm="http://schemas.microsoft.com/office/excel/2006/main">
          <x14:cfRule type="cellIs" priority="6" operator="greaterThanOrEqual" id="{00680097-0076-4707-B6C7-00640098001A}">
            <xm:f>L2-G2-50</xm:f>
            <x14:dxf>
              <font/>
              <fill>
                <patternFill patternType="solid">
                  <fgColor rgb="FFEA4335"/>
                  <bgColor rgb="FFEA4335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J2</xm:sqref>
        </x14:conditionalFormatting>
        <x14:conditionalFormatting xmlns:xm="http://schemas.microsoft.com/office/excel/2006/main">
          <x14:cfRule type="cellIs" priority="7" operator="greaterThanOrEqual" id="{008F00D8-0016-4503-92E3-002600820005}">
            <xm:f>L2-G2-100</xm:f>
            <x14:dxf>
              <font>
                <b/>
                <color indexed="65"/>
              </font>
              <fill>
                <patternFill patternType="solid">
                  <fgColor rgb="FFFBBC04"/>
                  <bgColor rgb="FFFBBC04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J2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1008F-0099-4734-ABF6-009600340032}" type="custom" allowBlank="1" errorStyle="stop" imeMode="noControl" operator="between" showDropDown="1" showErrorMessage="0" showInputMessage="0">
          <x14:formula1>
            <xm:f>AND(ISNUMBER(B2),(NOT(OR(NOT(ISERROR(DATEVALUE(B2))), AND(ISNUMBER(B2), LEFT(CELL("format", B2))="D")))))</xm:f>
          </x14:formula1>
          <xm:sqref>E2:G2 I2:L2 E3:F7 B2:C15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18.129999999999999"/>
    <col customWidth="1" min="4" max="4" width="15.25"/>
    <col customWidth="1" min="9" max="9" width="15.25"/>
    <col customWidth="1" min="10" max="10" width="13"/>
    <col customWidth="1" min="11" max="11" width="16"/>
    <col customWidth="1" min="12" max="12" width="21.25"/>
  </cols>
  <sheetData>
    <row r="1" ht="22.5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9" t="s">
        <v>28</v>
      </c>
      <c r="I1" s="1" t="s">
        <v>30</v>
      </c>
      <c r="J1" s="1" t="s">
        <v>31</v>
      </c>
      <c r="K1" s="1" t="s">
        <v>32</v>
      </c>
      <c r="L1" s="1" t="s">
        <v>33</v>
      </c>
    </row>
    <row r="2" ht="22.5" customHeight="1">
      <c r="A2" s="3" t="s">
        <v>34</v>
      </c>
      <c r="B2" s="3">
        <v>225</v>
      </c>
      <c r="C2" s="15"/>
      <c r="D2" s="10" t="s">
        <v>35</v>
      </c>
      <c r="E2" s="11">
        <v>600</v>
      </c>
      <c r="F2" s="11"/>
      <c r="G2" s="8">
        <f>SUM(B2:B1000)-SUM(C2:C1000)</f>
        <v>2095</v>
      </c>
      <c r="H2" s="8">
        <f>SUM(F2:F1000)</f>
        <v>0</v>
      </c>
      <c r="I2" s="8">
        <f>Table6_7[Renda]-SUM(C2:C1000)-Table6_7[Investido]</f>
        <v>3862</v>
      </c>
      <c r="J2" s="8">
        <f>sum(E2:E1000)</f>
        <v>1280</v>
      </c>
      <c r="K2" s="8">
        <f>Table6_7[Renda]-Table6_7[Devendo]-Table6_7[Sujestões]</f>
        <v>487</v>
      </c>
      <c r="L2" s="3">
        <v>3862</v>
      </c>
    </row>
    <row r="3" ht="22.5" customHeight="1">
      <c r="A3" s="3" t="s">
        <v>3</v>
      </c>
      <c r="B3" s="3">
        <v>360</v>
      </c>
      <c r="C3" s="15"/>
      <c r="D3" s="3" t="s">
        <v>36</v>
      </c>
      <c r="E3" s="3">
        <v>350</v>
      </c>
      <c r="F3" s="3"/>
    </row>
    <row r="4" ht="22.5" customHeight="1">
      <c r="A4" s="12" t="s">
        <v>50</v>
      </c>
      <c r="B4" s="3">
        <v>850</v>
      </c>
      <c r="C4" s="15"/>
      <c r="D4" s="3" t="s">
        <v>41</v>
      </c>
      <c r="E4" s="3">
        <v>0</v>
      </c>
      <c r="F4" s="3"/>
    </row>
    <row r="5" ht="22.5" customHeight="1">
      <c r="A5" s="12" t="s">
        <v>58</v>
      </c>
      <c r="B5" s="3">
        <v>160</v>
      </c>
      <c r="C5" s="15"/>
      <c r="D5" s="3" t="s">
        <v>43</v>
      </c>
      <c r="E5" s="3">
        <v>30</v>
      </c>
      <c r="F5" s="3"/>
    </row>
    <row r="6" ht="22.5" customHeight="1">
      <c r="A6" s="12" t="s">
        <v>56</v>
      </c>
      <c r="B6" s="3">
        <v>40</v>
      </c>
      <c r="C6" s="15"/>
      <c r="D6" s="3" t="s">
        <v>59</v>
      </c>
      <c r="E6" s="3">
        <v>300</v>
      </c>
      <c r="F6" s="3"/>
    </row>
    <row r="7" ht="22.5" customHeight="1">
      <c r="A7" s="12" t="s">
        <v>60</v>
      </c>
      <c r="B7" s="3">
        <v>300</v>
      </c>
      <c r="C7" s="15"/>
      <c r="F7" s="5"/>
    </row>
    <row r="8" ht="22.5" customHeight="1">
      <c r="A8" s="12" t="s">
        <v>61</v>
      </c>
      <c r="B8" s="3">
        <v>160</v>
      </c>
      <c r="C8" s="15"/>
      <c r="D8" s="5"/>
      <c r="E8" s="5"/>
      <c r="F8" s="5"/>
    </row>
    <row r="9" ht="22.5" customHeight="1">
      <c r="A9" s="12" t="s">
        <v>62</v>
      </c>
      <c r="B9" s="3">
        <v>0</v>
      </c>
      <c r="C9" s="15"/>
      <c r="E9" s="5"/>
      <c r="F9" s="5"/>
    </row>
    <row r="10">
      <c r="C10" s="5"/>
      <c r="D10" s="7"/>
      <c r="F10" s="7"/>
      <c r="G10" s="7"/>
    </row>
    <row r="11">
      <c r="C11" s="16"/>
      <c r="D11" s="5"/>
      <c r="E11" s="7"/>
      <c r="F11" s="7"/>
      <c r="G11" s="7"/>
    </row>
    <row r="12">
      <c r="A12" s="17"/>
      <c r="B12" s="5"/>
      <c r="C12" s="18"/>
      <c r="E12" s="13"/>
      <c r="F12" s="14"/>
      <c r="G12" s="14"/>
    </row>
    <row r="13">
      <c r="A13" s="17"/>
      <c r="B13" s="5"/>
      <c r="C13" s="7"/>
      <c r="D13" s="7"/>
      <c r="E13" s="5"/>
      <c r="F13" s="5"/>
      <c r="G13" s="5"/>
    </row>
    <row r="14">
      <c r="A14" s="17"/>
      <c r="B14" s="5"/>
      <c r="C14" s="7"/>
      <c r="D14" s="7"/>
      <c r="E14" s="5"/>
      <c r="F14" s="5"/>
      <c r="G14" s="5"/>
    </row>
    <row r="17">
      <c r="A17" s="17"/>
      <c r="B17" s="5"/>
      <c r="C17" s="7"/>
    </row>
  </sheetData>
  <dataValidations count="1" disablePrompts="0">
    <dataValidation sqref="A2:A9" type="none" allowBlank="1" errorStyle="stop" imeMode="noControl" operator="between" showDropDown="1" showErrorMessage="0" showInputMessage="0"/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004E0040-0080-4834-AB8F-0016006A0073}">
            <xm:f>0</xm:f>
            <x14:dxf>
              <font>
                <b/>
                <color indexed="65"/>
              </font>
              <fill>
                <patternFill patternType="solid">
                  <fgColor rgb="FFEA4335"/>
                  <bgColor rgb="FFEA4335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G2</xm:sqref>
        </x14:conditionalFormatting>
        <x14:conditionalFormatting xmlns:xm="http://schemas.microsoft.com/office/excel/2006/main">
          <x14:cfRule type="cellIs" priority="2" operator="lessThanOrEqual" id="{00200087-0077-461A-B64A-00E000A40018}">
            <xm:f>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G2</xm:sqref>
        </x14:conditionalFormatting>
        <x14:conditionalFormatting xmlns:xm="http://schemas.microsoft.com/office/excel/2006/main">
          <x14:cfRule type="cellIs" priority="3" operator="greaterThan" id="{00F6008D-00C1-40C4-B517-00E800AE00FA}">
            <xm:f>100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</xm:sqref>
        </x14:conditionalFormatting>
        <x14:conditionalFormatting xmlns:xm="http://schemas.microsoft.com/office/excel/2006/main">
          <x14:cfRule type="cellIs" priority="4" operator="greaterThan" id="{002F00BB-0052-47BC-97CF-00C2002300F5}">
            <xm:f>0</xm:f>
            <x14:dxf>
              <font>
                <b/>
              </font>
              <fill>
                <patternFill patternType="solid">
                  <fgColor rgb="FFF1C232"/>
                  <bgColor rgb="FFF1C232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</xm:sqref>
        </x14:conditionalFormatting>
        <x14:conditionalFormatting xmlns:xm="http://schemas.microsoft.com/office/excel/2006/main">
          <x14:cfRule type="cellIs" priority="5" operator="lessThan" id="{006A003F-002D-4F51-B0E0-00ED00D100BC}">
            <xm:f>0</xm:f>
            <x14:dxf>
              <font>
                <b/>
                <color indexed="65"/>
              </font>
              <fill>
                <patternFill patternType="solid">
                  <fgColor rgb="FFEA4335"/>
                  <bgColor rgb="FFEA4335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</xm:sqref>
        </x14:conditionalFormatting>
        <x14:conditionalFormatting xmlns:xm="http://schemas.microsoft.com/office/excel/2006/main">
          <x14:cfRule type="cellIs" priority="6" operator="greaterThanOrEqual" id="{0091000C-0011-4197-A1FF-0089001F00D2}">
            <xm:f>L2-G2-50</xm:f>
            <x14:dxf>
              <font/>
              <fill>
                <patternFill patternType="solid">
                  <fgColor rgb="FFEA4335"/>
                  <bgColor rgb="FFEA4335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J2</xm:sqref>
        </x14:conditionalFormatting>
        <x14:conditionalFormatting xmlns:xm="http://schemas.microsoft.com/office/excel/2006/main">
          <x14:cfRule type="cellIs" priority="7" operator="greaterThanOrEqual" id="{00AB0079-001B-46B6-B38B-008E00F500BF}">
            <xm:f>L2-G2-100</xm:f>
            <x14:dxf>
              <font>
                <b/>
                <color indexed="65"/>
              </font>
              <fill>
                <patternFill patternType="solid">
                  <fgColor rgb="FFFBBC04"/>
                  <bgColor rgb="FFFBBC04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J2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49002A-0090-4D8D-8167-00D5003B003E}" type="custom" allowBlank="1" errorStyle="stop" imeMode="noControl" operator="between" showDropDown="1" showErrorMessage="0" showInputMessage="0">
          <x14:formula1>
            <xm:f>AND(ISNUMBER(B2),(NOT(OR(NOT(ISERROR(DATEVALUE(B2))), AND(ISNUMBER(B2), LEFT(CELL("format", B2))="D")))))</xm:f>
          </x14:formula1>
          <xm:sqref>E2:G2 I2:L2 E3:F6 B2:C9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